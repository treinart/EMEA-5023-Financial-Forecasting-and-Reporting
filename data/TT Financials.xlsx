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Financials Data" sheetId="2" r:id="rId6"/>
    <sheet state="visible" name="Financial Pivot" sheetId="3" r:id="rId7"/>
    <sheet state="visible" name="2025 Ratios" sheetId="4" r:id="rId8"/>
  </sheets>
  <definedNames/>
  <calcPr/>
</workbook>
</file>

<file path=xl/sharedStrings.xml><?xml version="1.0" encoding="utf-8"?>
<sst xmlns="http://schemas.openxmlformats.org/spreadsheetml/2006/main" count="163" uniqueCount="101">
  <si>
    <t>Trane Technologies Financial Review Dashboard</t>
  </si>
  <si>
    <t>2025 Revenue</t>
  </si>
  <si>
    <t>2025 Gross Margin</t>
  </si>
  <si>
    <t>2025 Operating Margin</t>
  </si>
  <si>
    <t>2025 Net Margin</t>
  </si>
  <si>
    <t>2025 Net Earnings</t>
  </si>
  <si>
    <t>2025 Operating Cash Flow</t>
  </si>
  <si>
    <t>Diluted EPS</t>
  </si>
  <si>
    <t>Debt Ratio</t>
  </si>
  <si>
    <t>Key Observations</t>
  </si>
  <si>
    <t>• Revenue increased each year from 2023 through 2025.</t>
  </si>
  <si>
    <t>• Gross, operating, and net margins all improved over the three-year period.</t>
  </si>
  <si>
    <t>• Operating cash flow remained positive in all three years.</t>
  </si>
  <si>
    <t>• The ratio sheet shows strong interest coverage and times-interest-earned in 2025.</t>
  </si>
  <si>
    <t>Year</t>
  </si>
  <si>
    <t>Revenue</t>
  </si>
  <si>
    <t>Net Earnings</t>
  </si>
  <si>
    <t>Operating Cash Flow</t>
  </si>
  <si>
    <t>Ratio</t>
  </si>
  <si>
    <t>Value</t>
  </si>
  <si>
    <t>Current Ratio</t>
  </si>
  <si>
    <t>Interest Coverage</t>
  </si>
  <si>
    <t>Times Interest Earned</t>
  </si>
  <si>
    <t>Return on Assets</t>
  </si>
  <si>
    <t>Return on Equity</t>
  </si>
  <si>
    <t>Product Revenue</t>
  </si>
  <si>
    <t>Service Revenue</t>
  </si>
  <si>
    <t>COGS</t>
  </si>
  <si>
    <t>Gross Profit</t>
  </si>
  <si>
    <t>Gross Margin</t>
  </si>
  <si>
    <t>Operating Income</t>
  </si>
  <si>
    <t>Operating Margin</t>
  </si>
  <si>
    <t>Net Earnings Attributable</t>
  </si>
  <si>
    <t>Net Margin</t>
  </si>
  <si>
    <t>Investing Cash Flow</t>
  </si>
  <si>
    <t>Financing Cash Flow</t>
  </si>
  <si>
    <t>Basic EPS</t>
  </si>
  <si>
    <t>Trane Technologies Financial Summary Pivot</t>
  </si>
  <si>
    <t>Metric</t>
  </si>
  <si>
    <t>Category</t>
  </si>
  <si>
    <t>2023</t>
  </si>
  <si>
    <t>2024</t>
  </si>
  <si>
    <t>2025</t>
  </si>
  <si>
    <t>2025 vs 2023</t>
  </si>
  <si>
    <t>CAGR / Change</t>
  </si>
  <si>
    <t>Income Statement</t>
  </si>
  <si>
    <t>Cash Flow</t>
  </si>
  <si>
    <t>Per Share</t>
  </si>
  <si>
    <t>Margin</t>
  </si>
  <si>
    <t>Display</t>
  </si>
  <si>
    <t>Formula</t>
  </si>
  <si>
    <t>Interpretation</t>
  </si>
  <si>
    <t>Ratio Summary by Category</t>
  </si>
  <si>
    <t>Current assets / current liabilities</t>
  </si>
  <si>
    <t>Above 1.0, so short-term coverage is positive.</t>
  </si>
  <si>
    <t>Liquidity / Working Capital</t>
  </si>
  <si>
    <t>Metric Count</t>
  </si>
  <si>
    <t>Average Raw Value</t>
  </si>
  <si>
    <t>Quick Ratio</t>
  </si>
  <si>
    <t>(Current assets - inventory) / current liabilities</t>
  </si>
  <si>
    <t>Slightly below 1.0, showing inventory still matters to liquidity.</t>
  </si>
  <si>
    <t>Inventory Turnover</t>
  </si>
  <si>
    <t>COGS / inventory</t>
  </si>
  <si>
    <t>About two months of inventory on hand.</t>
  </si>
  <si>
    <t>Profitability</t>
  </si>
  <si>
    <t>Days Sales Outstanding</t>
  </si>
  <si>
    <t>55.4 days</t>
  </si>
  <si>
    <t>Accounts receivable / average revenue per day</t>
  </si>
  <si>
    <t>About 55 days, reasonable for 60-day terms but high for 30-day terms.</t>
  </si>
  <si>
    <t>Leverage / Coverage</t>
  </si>
  <si>
    <t>36.2%</t>
  </si>
  <si>
    <t>Gross profit / revenue</t>
  </si>
  <si>
    <t>Improved to 36.2 percent in 2025.</t>
  </si>
  <si>
    <t>Returns</t>
  </si>
  <si>
    <t>18.6%</t>
  </si>
  <si>
    <t>Operating income / revenue</t>
  </si>
  <si>
    <t>Operating leverage is strong at 18.6 percent.</t>
  </si>
  <si>
    <t>13.7%</t>
  </si>
  <si>
    <t>Net earnings attributable / revenue</t>
  </si>
  <si>
    <t>Healthy bottom-line margin at 13.7 percent.</t>
  </si>
  <si>
    <t>59.8%</t>
  </si>
  <si>
    <t>Total liabilities / total assets</t>
  </si>
  <si>
    <t>Liabilities are about 59.8 percent of assets.</t>
  </si>
  <si>
    <t>Debt-to-Equity Ratio</t>
  </si>
  <si>
    <t>Total liabilities / shareholders' equity</t>
  </si>
  <si>
    <t>Above 1.0, so leverage should be watched.</t>
  </si>
  <si>
    <t>EBITDA / interest expense</t>
  </si>
  <si>
    <t>Very strong coverage of interest expense.</t>
  </si>
  <si>
    <t>EBIT / interest expense</t>
  </si>
  <si>
    <t>Also very strong.</t>
  </si>
  <si>
    <t>13.6%</t>
  </si>
  <si>
    <t>Net earnings attributable / total assets</t>
  </si>
  <si>
    <t>Strong asset return for an industrial company.</t>
  </si>
  <si>
    <t>34.0%</t>
  </si>
  <si>
    <t>Net earnings attributable / shareholders' equity</t>
  </si>
  <si>
    <t>Very strong return to shareholders.</t>
  </si>
  <si>
    <t>$13.09</t>
  </si>
  <si>
    <t>Annual report EPS</t>
  </si>
  <si>
    <t>Up from $11.35 in 2024.</t>
  </si>
  <si>
    <t>$12.98</t>
  </si>
  <si>
    <t>Up from $11.24 in 2024.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</si>
</sst>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"/>
    <numFmt numFmtId="165" formatCode="0.0%"/>
    <numFmt numFmtId="166" formatCode="$0.00"/>
  </numFmts>
  <fonts count="8">
    <font>
      <sz val="11.0"/>
      <color rgb="FF000000"/>
      <name val="Carlito"/>
      <scheme val="minor"/>
    </font>
    <font>
      <b/>
      <sz val="16.0"/>
      <color rgb="FFFFFFFF"/>
      <name val="Carlito"/>
    </font>
    <font>
      <sz val="11.0"/>
      <color theme="1"/>
      <name val="Carlito"/>
    </font>
    <font>
      <i/>
      <sz val="11.0"/>
      <color rgb="FF374151"/>
      <name val="Carlito"/>
    </font>
    <font>
      <b/>
      <sz val="11.0"/>
      <color rgb="FF374151"/>
      <name val="Carlito"/>
    </font>
    <font>
      <b/>
      <sz val="18.0"/>
      <color rgb="FF1F2937"/>
      <name val="Carlito"/>
    </font>
    <font>
      <b/>
      <sz val="11.0"/>
      <color rgb="FFFFFFFF"/>
      <name val="Carlito"/>
    </font>
    <font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  <fill>
      <patternFill patternType="solid">
        <fgColor rgb="FF2563EB"/>
        <bgColor rgb="FF2563EB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wrapText="1"/>
    </xf>
    <xf borderId="0" fillId="3" fontId="4" numFmtId="0" xfId="0" applyAlignment="1" applyFill="1" applyFont="1">
      <alignment horizontal="center" shrinkToFit="0" vertical="center" wrapText="1"/>
    </xf>
    <xf borderId="0" fillId="4" fontId="5" numFmtId="164" xfId="0" applyAlignment="1" applyFill="1" applyFont="1" applyNumberFormat="1">
      <alignment horizontal="center" vertical="center"/>
    </xf>
    <xf borderId="0" fillId="4" fontId="5" numFmtId="165" xfId="0" applyAlignment="1" applyFont="1" applyNumberFormat="1">
      <alignment horizontal="center" vertical="center"/>
    </xf>
    <xf borderId="0" fillId="4" fontId="5" numFmtId="166" xfId="0" applyAlignment="1" applyFont="1" applyNumberFormat="1">
      <alignment horizontal="center" vertical="center"/>
    </xf>
    <xf borderId="0" fillId="5" fontId="6" numFmtId="0" xfId="0" applyAlignment="1" applyFill="1" applyFont="1">
      <alignment horizontal="center" vertical="center"/>
    </xf>
    <xf borderId="0" fillId="4" fontId="3" numFmtId="0" xfId="0" applyAlignment="1" applyFont="1">
      <alignment horizontal="center"/>
    </xf>
    <xf borderId="0" fillId="0" fontId="2" numFmtId="0" xfId="0" applyAlignment="1" applyFont="1">
      <alignment shrinkToFit="0" vertical="top" wrapText="1"/>
    </xf>
    <xf borderId="0" fillId="2" fontId="6" numFmtId="0" xfId="0" applyAlignment="1" applyFont="1">
      <alignment horizontal="center" shrinkToFit="0" vertical="center" wrapText="1"/>
    </xf>
    <xf borderId="0" fillId="0" fontId="2" numFmtId="1" xfId="0" applyAlignment="1" applyFont="1" applyNumberForma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7" numFmtId="0" xfId="0" applyFont="1"/>
    <xf borderId="0" fillId="0" fontId="2" numFmtId="2" xfId="0" applyFont="1" applyNumberFormat="1"/>
    <xf borderId="0" fillId="0" fontId="2" numFmtId="0" xfId="0" applyAlignment="1" applyFont="1">
      <alignment shrinkToFit="0" wrapText="1"/>
    </xf>
    <xf borderId="0" fillId="0" fontId="2" numFmtId="165" xfId="0" applyAlignment="1" applyFont="1" applyNumberFormat="1">
      <alignment shrinkToFit="0" wrapText="1"/>
    </xf>
    <xf borderId="0" fillId="0" fontId="2" numFmtId="166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0" fillId="4" fontId="6" numFmtId="0" xfId="0" applyAlignment="1" applyFont="1">
      <alignment horizontal="center" vertical="center"/>
    </xf>
    <xf borderId="0" fillId="0" fontId="2" numFmtId="2" xfId="0" applyAlignment="1" applyFont="1" applyNumberFormat="1">
      <alignment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EFF6FF"/>
          <bgColor rgb="FFEFF6FF"/>
        </patternFill>
      </fill>
      <border/>
    </dxf>
    <dxf>
      <font/>
      <fill>
        <patternFill patternType="solid">
          <fgColor rgb="FFDCFCE7"/>
          <bgColor rgb="FFDCFCE7"/>
        </patternFill>
      </fill>
      <border/>
    </dxf>
  </dxfs>
  <tableStyles count="6">
    <tableStyle count="3" pivot="0" name="Dashboard-style">
      <tableStyleElement dxfId="1" type="headerRow"/>
      <tableStyleElement dxfId="2" type="firstRowStripe"/>
      <tableStyleElement dxfId="3" type="secondRowStripe"/>
    </tableStyle>
    <tableStyle count="3" pivot="0" name="Dashboard-style 2">
      <tableStyleElement dxfId="1" type="headerRow"/>
      <tableStyleElement dxfId="2" type="firstRowStripe"/>
      <tableStyleElement dxfId="3" type="secondRowStripe"/>
    </tableStyle>
    <tableStyle count="3" pivot="0" name="Financials Data-style">
      <tableStyleElement dxfId="1" type="headerRow"/>
      <tableStyleElement dxfId="2" type="firstRowStripe"/>
      <tableStyleElement dxfId="3" type="secondRowStripe"/>
    </tableStyle>
    <tableStyle count="3" pivot="0" name="Financial Pivot-style">
      <tableStyleElement dxfId="1" type="headerRow"/>
      <tableStyleElement dxfId="2" type="firstRowStripe"/>
      <tableStyleElement dxfId="3" type="secondRowStripe"/>
    </tableStyle>
    <tableStyle count="3" pivot="0" name="2025 Ratios-style">
      <tableStyleElement dxfId="1" type="headerRow"/>
      <tableStyleElement dxfId="2" type="firstRowStripe"/>
      <tableStyleElement dxfId="3" type="secondRowStripe"/>
    </tableStyle>
    <tableStyle count="3" pivot="0" name="2025 Ratio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Revenue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Dashboard!$A$17:$A$19</c:f>
            </c:strRef>
          </c:cat>
          <c:val>
            <c:numRef>
              <c:f>Dashboard!$B$17:$B$19</c:f>
              <c:numCache/>
            </c:numRef>
          </c:val>
          <c:smooth val="0"/>
        </c:ser>
        <c:ser>
          <c:idx val="1"/>
          <c:order val="1"/>
          <c:tx>
            <c:v>Net earnings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Dashboard!$A$17:$A$19</c:f>
            </c:strRef>
          </c:cat>
          <c:val>
            <c:numRef>
              <c:f>Dashboard!$C$17:$C$19</c:f>
              <c:numCache/>
            </c:numRef>
          </c:val>
          <c:smooth val="0"/>
        </c:ser>
        <c:ser>
          <c:idx val="2"/>
          <c:order val="2"/>
          <c:tx>
            <c:v>Operating cash flow</c:v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Dashboard!$A$17:$A$19</c:f>
            </c:strRef>
          </c:cat>
          <c:val>
            <c:numRef>
              <c:f>Dashboard!$D$17:$D$19</c:f>
              <c:numCache/>
            </c:numRef>
          </c:val>
          <c:smooth val="0"/>
        </c:ser>
        <c:axId val="1664495384"/>
        <c:axId val="2057756601"/>
      </c:lineChart>
      <c:catAx>
        <c:axId val="1664495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7756601"/>
      </c:catAx>
      <c:valAx>
        <c:axId val="2057756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449538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Ratio value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Dashboard!$F$17:$F$22</c:f>
            </c:strRef>
          </c:cat>
          <c:val>
            <c:numRef>
              <c:f>Dashboard!$G$17:$G$22</c:f>
              <c:numCache/>
            </c:numRef>
          </c:val>
        </c:ser>
        <c:axId val="769683035"/>
        <c:axId val="1822350949"/>
      </c:barChart>
      <c:catAx>
        <c:axId val="7696830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2350949"/>
      </c:catAx>
      <c:valAx>
        <c:axId val="18223509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968303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Product revenue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'Financials Data'!$A$2:$A$4</c:f>
            </c:strRef>
          </c:cat>
          <c:val>
            <c:numRef>
              <c:f>'Financials Data'!$C$2:$C$4</c:f>
              <c:numCache/>
            </c:numRef>
          </c:val>
        </c:ser>
        <c:ser>
          <c:idx val="1"/>
          <c:order val="1"/>
          <c:tx>
            <c:v>Service revenue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'Financials Data'!$A$2:$A$4</c:f>
            </c:strRef>
          </c:cat>
          <c:val>
            <c:numRef>
              <c:f>'Financials Data'!$D$2:$D$4</c:f>
              <c:numCache/>
            </c:numRef>
          </c:val>
        </c:ser>
        <c:axId val="1942589267"/>
        <c:axId val="2038807088"/>
      </c:barChart>
      <c:catAx>
        <c:axId val="1942589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8807088"/>
      </c:catAx>
      <c:valAx>
        <c:axId val="2038807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258926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Gross margin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'Financials Data'!$A$2:$A$4</c:f>
            </c:strRef>
          </c:cat>
          <c:val>
            <c:numRef>
              <c:f>'Financials Data'!$G$2:$G$4</c:f>
              <c:numCache/>
            </c:numRef>
          </c:val>
          <c:smooth val="0"/>
        </c:ser>
        <c:ser>
          <c:idx val="1"/>
          <c:order val="1"/>
          <c:tx>
            <c:v>Operating margin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'Financials Data'!$A$2:$A$4</c:f>
            </c:strRef>
          </c:cat>
          <c:val>
            <c:numRef>
              <c:f>'Financials Data'!$I$2:$I$4</c:f>
              <c:numCache/>
            </c:numRef>
          </c:val>
          <c:smooth val="0"/>
        </c:ser>
        <c:ser>
          <c:idx val="2"/>
          <c:order val="2"/>
          <c:tx>
            <c:v>Net margin</c:v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'Financials Data'!$A$2:$A$4</c:f>
            </c:strRef>
          </c:cat>
          <c:val>
            <c:numRef>
              <c:f>'Financials Data'!$K$2:$K$4</c:f>
              <c:numCache/>
            </c:numRef>
          </c:val>
          <c:smooth val="0"/>
        </c:ser>
        <c:axId val="1044900400"/>
        <c:axId val="1201785067"/>
      </c:lineChart>
      <c:catAx>
        <c:axId val="1044900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1785067"/>
      </c:catAx>
      <c:valAx>
        <c:axId val="12017850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490040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Revenue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'Financial Pivot'!$C$3:$E$3</c:f>
            </c:strRef>
          </c:cat>
          <c:val>
            <c:numRef>
              <c:f>'Financial Pivot'!$C$4:$E$4</c:f>
              <c:numCache/>
            </c:numRef>
          </c:val>
        </c:ser>
        <c:ser>
          <c:idx val="1"/>
          <c:order val="1"/>
          <c:tx>
            <c:v>Gross profit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'Financial Pivot'!$C$3:$E$3</c:f>
            </c:strRef>
          </c:cat>
          <c:val>
            <c:numRef>
              <c:f>'Financial Pivot'!$C$8:$E$8</c:f>
              <c:numCache/>
            </c:numRef>
          </c:val>
        </c:ser>
        <c:ser>
          <c:idx val="2"/>
          <c:order val="2"/>
          <c:tx>
            <c:v>Operating income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'Financial Pivot'!$C$3:$E$3</c:f>
            </c:strRef>
          </c:cat>
          <c:val>
            <c:numRef>
              <c:f>'Financial Pivot'!$C$9:$E$9</c:f>
              <c:numCache/>
            </c:numRef>
          </c:val>
        </c:ser>
        <c:ser>
          <c:idx val="3"/>
          <c:order val="3"/>
          <c:tx>
            <c:v>Net earnings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'Financial Pivot'!$C$3:$E$3</c:f>
            </c:strRef>
          </c:cat>
          <c:val>
            <c:numRef>
              <c:f>'Financial Pivot'!$C$10:$E$10</c:f>
              <c:numCache/>
            </c:numRef>
          </c:val>
        </c:ser>
        <c:axId val="333084229"/>
        <c:axId val="1709169248"/>
      </c:barChart>
      <c:catAx>
        <c:axId val="333084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169248"/>
      </c:catAx>
      <c:valAx>
        <c:axId val="1709169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08422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Operating cash flow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'Financial Pivot'!$C$3:$E$3</c:f>
            </c:strRef>
          </c:cat>
          <c:val>
            <c:numRef>
              <c:f>'Financial Pivot'!$C$11:$E$11</c:f>
              <c:numCache/>
            </c:numRef>
          </c:val>
        </c:ser>
        <c:ser>
          <c:idx val="1"/>
          <c:order val="1"/>
          <c:tx>
            <c:v>Investing cash flow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'Financial Pivot'!$C$3:$E$3</c:f>
            </c:strRef>
          </c:cat>
          <c:val>
            <c:numRef>
              <c:f>'Financial Pivot'!$C$12:$E$12</c:f>
              <c:numCache/>
            </c:numRef>
          </c:val>
        </c:ser>
        <c:ser>
          <c:idx val="2"/>
          <c:order val="2"/>
          <c:tx>
            <c:v>Financing cash flow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'Financial Pivot'!$C$3:$E$3</c:f>
            </c:strRef>
          </c:cat>
          <c:val>
            <c:numRef>
              <c:f>'Financial Pivot'!$C$13:$E$13</c:f>
              <c:numCache/>
            </c:numRef>
          </c:val>
        </c:ser>
        <c:axId val="1290494485"/>
        <c:axId val="1715572421"/>
      </c:barChart>
      <c:catAx>
        <c:axId val="1290494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5572421"/>
      </c:catAx>
      <c:valAx>
        <c:axId val="1715572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049448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Ratio value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'2025 Ratios'!$A$2:$A$16</c:f>
            </c:strRef>
          </c:cat>
          <c:val>
            <c:numRef>
              <c:f>'2025 Ratios'!$B$2:$B$16</c:f>
              <c:numCache/>
            </c:numRef>
          </c:val>
        </c:ser>
        <c:axId val="1093960994"/>
        <c:axId val="841392273"/>
      </c:barChart>
      <c:catAx>
        <c:axId val="10939609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392273"/>
      </c:catAx>
      <c:valAx>
        <c:axId val="8413922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396099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22</xdr:row>
      <xdr:rowOff>66675</xdr:rowOff>
    </xdr:from>
    <xdr:ext cx="7038975" cy="3200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828675</xdr:colOff>
      <xdr:row>22</xdr:row>
      <xdr:rowOff>66675</xdr:rowOff>
    </xdr:from>
    <xdr:ext cx="7962900" cy="3200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895350</xdr:colOff>
      <xdr:row>6</xdr:row>
      <xdr:rowOff>152400</xdr:rowOff>
    </xdr:from>
    <xdr:ext cx="5915025" cy="3200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228600</xdr:colOff>
      <xdr:row>6</xdr:row>
      <xdr:rowOff>152400</xdr:rowOff>
    </xdr:from>
    <xdr:ext cx="5915025" cy="3200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0</xdr:rowOff>
    </xdr:from>
    <xdr:ext cx="5915025" cy="32004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304800</xdr:colOff>
      <xdr:row>19</xdr:row>
      <xdr:rowOff>0</xdr:rowOff>
    </xdr:from>
    <xdr:ext cx="5915025" cy="32004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18</xdr:row>
      <xdr:rowOff>28575</xdr:rowOff>
    </xdr:from>
    <xdr:ext cx="8362950" cy="44005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6:D19" displayName="Table_1" name="Table_1" id="1">
  <tableColumns count="4">
    <tableColumn name="Year" id="1"/>
    <tableColumn name="Revenue" id="2"/>
    <tableColumn name="Net Earnings" id="3"/>
    <tableColumn name="Operating Cash Flow" id="4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F16:G22" displayName="Table_2" name="Table_2" id="2">
  <tableColumns count="2">
    <tableColumn name="Ratio" id="1"/>
    <tableColumn name="Value" id="2"/>
  </tableColumns>
  <tableStyleInfo name="Dashboard-style 2" showColumnStripes="0" showFirstColumn="1" showLastColumn="1" showRowStripes="1"/>
</table>
</file>

<file path=xl/tables/table3.xml><?xml version="1.0" encoding="utf-8"?>
<table xmlns="http://schemas.openxmlformats.org/spreadsheetml/2006/main" ref="A1:P4" displayName="Table_3" name="Table_3" id="3">
  <tableColumns count="16">
    <tableColumn name="Year" id="1"/>
    <tableColumn name="Revenue" id="2"/>
    <tableColumn name="Product Revenue" id="3"/>
    <tableColumn name="Service Revenue" id="4"/>
    <tableColumn name="COGS" id="5"/>
    <tableColumn name="Gross Profit" id="6"/>
    <tableColumn name="Gross Margin" id="7"/>
    <tableColumn name="Operating Income" id="8"/>
    <tableColumn name="Operating Margin" id="9"/>
    <tableColumn name="Net Earnings Attributable" id="10"/>
    <tableColumn name="Net Margin" id="11"/>
    <tableColumn name="Operating Cash Flow" id="12"/>
    <tableColumn name="Investing Cash Flow" id="13"/>
    <tableColumn name="Financing Cash Flow" id="14"/>
    <tableColumn name="Basic EPS" id="15"/>
    <tableColumn name="Diluted EPS" id="16"/>
  </tableColumns>
  <tableStyleInfo name="Financials Data-style" showColumnStripes="0" showFirstColumn="1" showLastColumn="1" showRowStripes="1"/>
</table>
</file>

<file path=xl/tables/table4.xml><?xml version="1.0" encoding="utf-8"?>
<table xmlns="http://schemas.openxmlformats.org/spreadsheetml/2006/main" ref="A3:G18" displayName="Table_4" name="Table_4" id="4">
  <tableColumns count="7">
    <tableColumn name="Metric" id="1"/>
    <tableColumn name="Category" id="2"/>
    <tableColumn name="2023" id="3"/>
    <tableColumn name="2024" id="4"/>
    <tableColumn name="2025" id="5"/>
    <tableColumn name="2025 vs 2023" id="6"/>
    <tableColumn name="CAGR / Change" id="7"/>
  </tableColumns>
  <tableStyleInfo name="Financial Pivot-style" showColumnStripes="0" showFirstColumn="1" showLastColumn="1" showRowStripes="1"/>
</table>
</file>

<file path=xl/tables/table5.xml><?xml version="1.0" encoding="utf-8"?>
<table xmlns="http://schemas.openxmlformats.org/spreadsheetml/2006/main" ref="A1:F16" displayName="Table_5" name="Table_5" id="5">
  <tableColumns count="6">
    <tableColumn name="Metric" id="1"/>
    <tableColumn name="Value" id="2"/>
    <tableColumn name="Display" id="3"/>
    <tableColumn name="Formula" id="4"/>
    <tableColumn name="Interpretation" id="5"/>
    <tableColumn name="Category" id="6"/>
  </tableColumns>
  <tableStyleInfo name="2025 Ratios-style" showColumnStripes="0" showFirstColumn="1" showLastColumn="1" showRowStripes="1"/>
</table>
</file>

<file path=xl/tables/table6.xml><?xml version="1.0" encoding="utf-8"?>
<table xmlns="http://schemas.openxmlformats.org/spreadsheetml/2006/main" ref="H2:J6" displayName="Table_6" name="Table_6" id="6">
  <tableColumns count="3">
    <tableColumn name="Category" id="1"/>
    <tableColumn name="Metric Count" id="2"/>
    <tableColumn name="Average Raw Value" id="3"/>
  </tableColumns>
  <tableStyleInfo name="2025 Rati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4.0"/>
    <col customWidth="1" min="6" max="6" width="17.25"/>
    <col customWidth="1" min="7" max="12" width="14.0"/>
    <col customWidth="1" min="13" max="26" width="8.63"/>
  </cols>
  <sheetData>
    <row r="1" ht="25.5" customHeight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1.5" customHeight="1">
      <c r="A2" s="3"/>
    </row>
    <row r="4">
      <c r="A4" s="4" t="s">
        <v>1</v>
      </c>
      <c r="D4" s="4" t="s">
        <v>2</v>
      </c>
      <c r="G4" s="4" t="s">
        <v>3</v>
      </c>
      <c r="J4" s="4" t="s">
        <v>4</v>
      </c>
    </row>
    <row r="5">
      <c r="A5" s="5">
        <f>'Financials Data'!B4</f>
        <v>21321.9</v>
      </c>
      <c r="D5" s="6">
        <f>'Financials Data'!G4</f>
        <v>0.3616094251</v>
      </c>
      <c r="G5" s="6">
        <f>'Financials Data'!I4</f>
        <v>0.1860715977</v>
      </c>
      <c r="J5" s="6">
        <f>'Financials Data'!K4</f>
        <v>0.1368827356</v>
      </c>
    </row>
    <row r="7">
      <c r="A7" s="4" t="s">
        <v>5</v>
      </c>
      <c r="D7" s="4" t="s">
        <v>6</v>
      </c>
      <c r="G7" s="4" t="s">
        <v>7</v>
      </c>
      <c r="J7" s="4" t="s">
        <v>8</v>
      </c>
    </row>
    <row r="8">
      <c r="A8" s="5">
        <f>'Financials Data'!J4</f>
        <v>2918.6</v>
      </c>
      <c r="D8" s="5">
        <f>'Financials Data'!L4</f>
        <v>3194.5</v>
      </c>
      <c r="G8" s="7">
        <f>'Financials Data'!P4</f>
        <v>12.98</v>
      </c>
      <c r="J8" s="6">
        <f>'2025 Ratios'!B9</f>
        <v>0.5984771739</v>
      </c>
    </row>
    <row r="10">
      <c r="A10" s="8" t="s">
        <v>9</v>
      </c>
      <c r="H10" s="9"/>
      <c r="I10" s="9"/>
      <c r="J10" s="9"/>
      <c r="K10" s="9"/>
      <c r="L10" s="9"/>
    </row>
    <row r="11" ht="24.0" customHeight="1">
      <c r="A11" s="10" t="s">
        <v>10</v>
      </c>
    </row>
    <row r="12" ht="24.0" customHeight="1">
      <c r="A12" s="10" t="s">
        <v>11</v>
      </c>
    </row>
    <row r="13" ht="24.0" customHeight="1">
      <c r="A13" s="10" t="s">
        <v>12</v>
      </c>
    </row>
    <row r="14" ht="24.0" customHeight="1">
      <c r="A14" s="10" t="s">
        <v>13</v>
      </c>
    </row>
    <row r="16">
      <c r="A16" s="11" t="s">
        <v>14</v>
      </c>
      <c r="B16" s="11" t="s">
        <v>15</v>
      </c>
      <c r="C16" s="11" t="s">
        <v>16</v>
      </c>
      <c r="D16" s="11" t="s">
        <v>17</v>
      </c>
      <c r="F16" s="11" t="s">
        <v>18</v>
      </c>
      <c r="G16" s="11" t="s">
        <v>19</v>
      </c>
    </row>
    <row r="17">
      <c r="A17" s="12">
        <v>2023.0</v>
      </c>
      <c r="B17" s="13">
        <v>17677.6</v>
      </c>
      <c r="C17" s="13">
        <v>2023.9</v>
      </c>
      <c r="D17" s="13">
        <v>2389.6</v>
      </c>
      <c r="F17" s="14" t="s">
        <v>20</v>
      </c>
      <c r="G17" s="15">
        <v>1.250735680086532</v>
      </c>
    </row>
    <row r="18">
      <c r="A18" s="12">
        <v>2024.0</v>
      </c>
      <c r="B18" s="13">
        <v>19838.2</v>
      </c>
      <c r="C18" s="13">
        <v>2567.9</v>
      </c>
      <c r="D18" s="13">
        <v>3145.6</v>
      </c>
      <c r="F18" s="14" t="s">
        <v>8</v>
      </c>
      <c r="G18" s="15">
        <v>0.5984771739485637</v>
      </c>
    </row>
    <row r="19">
      <c r="A19" s="12">
        <v>2025.0</v>
      </c>
      <c r="B19" s="13">
        <v>21321.9</v>
      </c>
      <c r="C19" s="13">
        <v>2918.6</v>
      </c>
      <c r="D19" s="13">
        <v>3194.5</v>
      </c>
      <c r="F19" s="14" t="s">
        <v>21</v>
      </c>
      <c r="G19" s="15">
        <v>19.16056462284958</v>
      </c>
    </row>
    <row r="20">
      <c r="A20" s="16"/>
      <c r="B20" s="16"/>
      <c r="C20" s="16"/>
      <c r="D20" s="16"/>
      <c r="F20" s="14" t="s">
        <v>22</v>
      </c>
      <c r="G20" s="15">
        <v>17.500661667401854</v>
      </c>
    </row>
    <row r="21" ht="15.75" customHeight="1">
      <c r="A21" s="16"/>
      <c r="B21" s="16"/>
      <c r="C21" s="16"/>
      <c r="D21" s="16"/>
      <c r="F21" s="14" t="s">
        <v>23</v>
      </c>
      <c r="G21" s="15">
        <v>0.13625138300802495</v>
      </c>
    </row>
    <row r="22" ht="15.75" customHeight="1">
      <c r="A22" s="16"/>
      <c r="B22" s="16"/>
      <c r="C22" s="16"/>
      <c r="D22" s="16"/>
      <c r="F22" s="14" t="s">
        <v>24</v>
      </c>
      <c r="G22" s="15">
        <v>0.3401948899664304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L1"/>
    <mergeCell ref="A2:L2"/>
    <mergeCell ref="A4:C4"/>
    <mergeCell ref="D4:F4"/>
    <mergeCell ref="G4:I4"/>
    <mergeCell ref="J4:L4"/>
    <mergeCell ref="A5:C5"/>
    <mergeCell ref="J5:L5"/>
    <mergeCell ref="D8:F8"/>
    <mergeCell ref="G8:I8"/>
    <mergeCell ref="A10:F10"/>
    <mergeCell ref="A11:F11"/>
    <mergeCell ref="A12:F12"/>
    <mergeCell ref="A13:F13"/>
    <mergeCell ref="A14:F14"/>
    <mergeCell ref="D5:F5"/>
    <mergeCell ref="G5:I5"/>
    <mergeCell ref="A7:C7"/>
    <mergeCell ref="D7:F7"/>
    <mergeCell ref="G7:I7"/>
    <mergeCell ref="J7:L7"/>
    <mergeCell ref="A8:C8"/>
    <mergeCell ref="J8:L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6" width="16.0"/>
    <col customWidth="1" min="7" max="9" width="14.0"/>
    <col customWidth="1" min="10" max="14" width="18.0"/>
    <col customWidth="1" min="15" max="16" width="12.0"/>
    <col customWidth="1" min="17" max="27" width="8.63"/>
  </cols>
  <sheetData>
    <row r="1" ht="25.5" customHeight="1">
      <c r="A1" s="11" t="s">
        <v>14</v>
      </c>
      <c r="B1" s="11" t="s">
        <v>15</v>
      </c>
      <c r="C1" s="11" t="s">
        <v>25</v>
      </c>
      <c r="D1" s="11" t="s">
        <v>26</v>
      </c>
      <c r="E1" s="11" t="s">
        <v>27</v>
      </c>
      <c r="F1" s="11" t="s">
        <v>28</v>
      </c>
      <c r="G1" s="11" t="s">
        <v>29</v>
      </c>
      <c r="H1" s="11" t="s">
        <v>30</v>
      </c>
      <c r="I1" s="11" t="s">
        <v>31</v>
      </c>
      <c r="J1" s="11" t="s">
        <v>32</v>
      </c>
      <c r="K1" s="11" t="s">
        <v>33</v>
      </c>
      <c r="L1" s="11" t="s">
        <v>17</v>
      </c>
      <c r="M1" s="11" t="s">
        <v>34</v>
      </c>
      <c r="N1" s="11" t="s">
        <v>35</v>
      </c>
      <c r="O1" s="11" t="s">
        <v>36</v>
      </c>
      <c r="P1" s="11" t="s">
        <v>7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2">
        <v>2023.0</v>
      </c>
      <c r="B2" s="13">
        <v>17677.6</v>
      </c>
      <c r="C2" s="13">
        <v>11975.4</v>
      </c>
      <c r="D2" s="13">
        <v>5702.2</v>
      </c>
      <c r="E2" s="13">
        <v>11820.400000000001</v>
      </c>
      <c r="F2" s="13">
        <v>5857.199999999997</v>
      </c>
      <c r="G2" s="17">
        <v>0.331334570303661</v>
      </c>
      <c r="H2" s="13">
        <v>2894.0</v>
      </c>
      <c r="I2" s="17">
        <v>0.16371000588315157</v>
      </c>
      <c r="J2" s="13">
        <v>2023.9</v>
      </c>
      <c r="K2" s="17">
        <v>0.11448952346472373</v>
      </c>
      <c r="L2" s="13">
        <v>2389.6</v>
      </c>
      <c r="M2" s="13">
        <v>-1172.2</v>
      </c>
      <c r="N2" s="13">
        <v>-1350.3</v>
      </c>
      <c r="O2" s="18">
        <v>8.85</v>
      </c>
      <c r="P2" s="18">
        <v>8.77</v>
      </c>
    </row>
    <row r="3">
      <c r="A3" s="12">
        <v>2024.0</v>
      </c>
      <c r="B3" s="13">
        <v>19838.2</v>
      </c>
      <c r="C3" s="13">
        <v>13314.5</v>
      </c>
      <c r="D3" s="13">
        <v>6523.7</v>
      </c>
      <c r="E3" s="13">
        <v>12757.7</v>
      </c>
      <c r="F3" s="13">
        <v>7080.5</v>
      </c>
      <c r="G3" s="17">
        <v>0.3569124214898529</v>
      </c>
      <c r="H3" s="13">
        <v>3500.1</v>
      </c>
      <c r="I3" s="17">
        <v>0.1764323376112752</v>
      </c>
      <c r="J3" s="13">
        <v>2567.9</v>
      </c>
      <c r="K3" s="17">
        <v>0.1294421872952183</v>
      </c>
      <c r="L3" s="13">
        <v>3145.6</v>
      </c>
      <c r="M3" s="13">
        <v>-562.9</v>
      </c>
      <c r="N3" s="13">
        <v>-2020.6</v>
      </c>
      <c r="O3" s="18">
        <v>11.35</v>
      </c>
      <c r="P3" s="18">
        <v>11.24</v>
      </c>
    </row>
    <row r="4">
      <c r="A4" s="12">
        <v>2025.0</v>
      </c>
      <c r="B4" s="13">
        <v>21321.9</v>
      </c>
      <c r="C4" s="13">
        <v>13982.3</v>
      </c>
      <c r="D4" s="13">
        <v>7339.6</v>
      </c>
      <c r="E4" s="13">
        <v>13611.7</v>
      </c>
      <c r="F4" s="13">
        <v>7710.200000000001</v>
      </c>
      <c r="G4" s="17">
        <v>0.3616094250512384</v>
      </c>
      <c r="H4" s="13">
        <v>3967.4</v>
      </c>
      <c r="I4" s="17">
        <v>0.18607159774691748</v>
      </c>
      <c r="J4" s="13">
        <v>2918.6</v>
      </c>
      <c r="K4" s="17">
        <v>0.13688273559110584</v>
      </c>
      <c r="L4" s="13">
        <v>3194.5</v>
      </c>
      <c r="M4" s="13">
        <v>-640.0</v>
      </c>
      <c r="N4" s="13">
        <v>-2495.8</v>
      </c>
      <c r="O4" s="18">
        <v>13.09</v>
      </c>
      <c r="P4" s="18">
        <v>12.98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:K4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18.0"/>
    <col customWidth="1" min="3" max="7" width="16.0"/>
    <col customWidth="1" min="8" max="26" width="8.63"/>
  </cols>
  <sheetData>
    <row r="1" ht="25.5" customHeight="1">
      <c r="A1" s="1" t="s">
        <v>37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>
      <c r="A3" s="11" t="s">
        <v>38</v>
      </c>
      <c r="B3" s="11" t="s">
        <v>39</v>
      </c>
      <c r="C3" s="11" t="s">
        <v>40</v>
      </c>
      <c r="D3" s="11" t="s">
        <v>41</v>
      </c>
      <c r="E3" s="11" t="s">
        <v>42</v>
      </c>
      <c r="F3" s="11" t="s">
        <v>43</v>
      </c>
      <c r="G3" s="11" t="s">
        <v>44</v>
      </c>
    </row>
    <row r="4">
      <c r="A4" s="19" t="s">
        <v>15</v>
      </c>
      <c r="B4" s="19" t="s">
        <v>45</v>
      </c>
      <c r="C4" s="13">
        <v>17677.6</v>
      </c>
      <c r="D4" s="13">
        <v>19838.2</v>
      </c>
      <c r="E4" s="13">
        <v>21321.9</v>
      </c>
      <c r="F4" s="17">
        <f t="shared" ref="F4:F18" si="1">IFERROR((E4-C4)/ABS(C4),"")</f>
        <v>0.2061535503</v>
      </c>
      <c r="G4" s="17">
        <f t="shared" ref="G4:G15" si="2">IFERROR((E4/C4)^(1/2)-1,"")</f>
        <v>0.09825022206</v>
      </c>
    </row>
    <row r="5">
      <c r="A5" s="19" t="s">
        <v>25</v>
      </c>
      <c r="B5" s="19" t="s">
        <v>45</v>
      </c>
      <c r="C5" s="13">
        <v>11975.4</v>
      </c>
      <c r="D5" s="13">
        <v>13314.5</v>
      </c>
      <c r="E5" s="13">
        <v>13982.3</v>
      </c>
      <c r="F5" s="17">
        <f t="shared" si="1"/>
        <v>0.1675852164</v>
      </c>
      <c r="G5" s="17">
        <f t="shared" si="2"/>
        <v>0.08054857196</v>
      </c>
    </row>
    <row r="6">
      <c r="A6" s="19" t="s">
        <v>26</v>
      </c>
      <c r="B6" s="19" t="s">
        <v>45</v>
      </c>
      <c r="C6" s="13">
        <v>5702.2</v>
      </c>
      <c r="D6" s="13">
        <v>6523.7</v>
      </c>
      <c r="E6" s="13">
        <v>7339.6</v>
      </c>
      <c r="F6" s="17">
        <f t="shared" si="1"/>
        <v>0.2871523272</v>
      </c>
      <c r="G6" s="17">
        <f t="shared" si="2"/>
        <v>0.1345273585</v>
      </c>
    </row>
    <row r="7">
      <c r="A7" s="19" t="s">
        <v>27</v>
      </c>
      <c r="B7" s="19" t="s">
        <v>45</v>
      </c>
      <c r="C7" s="13">
        <v>11820.400000000001</v>
      </c>
      <c r="D7" s="13">
        <v>12757.7</v>
      </c>
      <c r="E7" s="13">
        <v>13611.7</v>
      </c>
      <c r="F7" s="17">
        <f t="shared" si="1"/>
        <v>0.151543095</v>
      </c>
      <c r="G7" s="17">
        <f t="shared" si="2"/>
        <v>0.07309976004</v>
      </c>
    </row>
    <row r="8">
      <c r="A8" s="19" t="s">
        <v>28</v>
      </c>
      <c r="B8" s="19" t="s">
        <v>45</v>
      </c>
      <c r="C8" s="13">
        <v>5857.199999999997</v>
      </c>
      <c r="D8" s="13">
        <v>7080.5</v>
      </c>
      <c r="E8" s="13">
        <v>7710.200000000001</v>
      </c>
      <c r="F8" s="17">
        <f t="shared" si="1"/>
        <v>0.3163627672</v>
      </c>
      <c r="G8" s="17">
        <f t="shared" si="2"/>
        <v>0.147328535</v>
      </c>
    </row>
    <row r="9">
      <c r="A9" s="19" t="s">
        <v>30</v>
      </c>
      <c r="B9" s="19" t="s">
        <v>45</v>
      </c>
      <c r="C9" s="13">
        <v>2894.0</v>
      </c>
      <c r="D9" s="13">
        <v>3500.1</v>
      </c>
      <c r="E9" s="13">
        <v>3967.4</v>
      </c>
      <c r="F9" s="17">
        <f t="shared" si="1"/>
        <v>0.3709053214</v>
      </c>
      <c r="G9" s="17">
        <f t="shared" si="2"/>
        <v>0.1708566613</v>
      </c>
    </row>
    <row r="10">
      <c r="A10" s="19" t="s">
        <v>32</v>
      </c>
      <c r="B10" s="19" t="s">
        <v>45</v>
      </c>
      <c r="C10" s="13">
        <v>2023.9</v>
      </c>
      <c r="D10" s="13">
        <v>2567.9</v>
      </c>
      <c r="E10" s="13">
        <v>2918.6</v>
      </c>
      <c r="F10" s="17">
        <f t="shared" si="1"/>
        <v>0.4420672958</v>
      </c>
      <c r="G10" s="17">
        <f t="shared" si="2"/>
        <v>0.2008610643</v>
      </c>
    </row>
    <row r="11">
      <c r="A11" s="19" t="s">
        <v>17</v>
      </c>
      <c r="B11" s="19" t="s">
        <v>46</v>
      </c>
      <c r="C11" s="13">
        <v>2389.6</v>
      </c>
      <c r="D11" s="13">
        <v>3145.6</v>
      </c>
      <c r="E11" s="13">
        <v>3194.5</v>
      </c>
      <c r="F11" s="17">
        <f t="shared" si="1"/>
        <v>0.3368346167</v>
      </c>
      <c r="G11" s="17">
        <f t="shared" si="2"/>
        <v>0.1562156445</v>
      </c>
    </row>
    <row r="12">
      <c r="A12" s="19" t="s">
        <v>34</v>
      </c>
      <c r="B12" s="19" t="s">
        <v>46</v>
      </c>
      <c r="C12" s="13">
        <v>-1172.2</v>
      </c>
      <c r="D12" s="13">
        <v>-562.9</v>
      </c>
      <c r="E12" s="13">
        <v>-640.0</v>
      </c>
      <c r="F12" s="17">
        <f t="shared" si="1"/>
        <v>0.4540180857</v>
      </c>
      <c r="G12" s="17">
        <f t="shared" si="2"/>
        <v>-0.26109411</v>
      </c>
    </row>
    <row r="13">
      <c r="A13" s="19" t="s">
        <v>35</v>
      </c>
      <c r="B13" s="19" t="s">
        <v>46</v>
      </c>
      <c r="C13" s="13">
        <v>-1350.3</v>
      </c>
      <c r="D13" s="13">
        <v>-2020.6</v>
      </c>
      <c r="E13" s="13">
        <v>-2495.8</v>
      </c>
      <c r="F13" s="17">
        <f t="shared" si="1"/>
        <v>-0.8483300007</v>
      </c>
      <c r="G13" s="17">
        <f t="shared" si="2"/>
        <v>0.3595330083</v>
      </c>
    </row>
    <row r="14">
      <c r="A14" s="19" t="s">
        <v>36</v>
      </c>
      <c r="B14" s="19" t="s">
        <v>47</v>
      </c>
      <c r="C14" s="18">
        <v>8.85</v>
      </c>
      <c r="D14" s="18">
        <v>11.35</v>
      </c>
      <c r="E14" s="18">
        <v>13.09</v>
      </c>
      <c r="F14" s="17">
        <f t="shared" si="1"/>
        <v>0.4790960452</v>
      </c>
      <c r="G14" s="17">
        <f t="shared" si="2"/>
        <v>0.2161809262</v>
      </c>
    </row>
    <row r="15">
      <c r="A15" s="19" t="s">
        <v>7</v>
      </c>
      <c r="B15" s="19" t="s">
        <v>47</v>
      </c>
      <c r="C15" s="18">
        <v>8.77</v>
      </c>
      <c r="D15" s="18">
        <v>11.24</v>
      </c>
      <c r="E15" s="18">
        <v>12.98</v>
      </c>
      <c r="F15" s="17">
        <f t="shared" si="1"/>
        <v>0.48004561</v>
      </c>
      <c r="G15" s="17">
        <f t="shared" si="2"/>
        <v>0.2165712515</v>
      </c>
    </row>
    <row r="16">
      <c r="A16" s="19" t="s">
        <v>29</v>
      </c>
      <c r="B16" s="19" t="s">
        <v>48</v>
      </c>
      <c r="C16" s="17">
        <v>0.331334570303661</v>
      </c>
      <c r="D16" s="17">
        <v>0.3569124214898529</v>
      </c>
      <c r="E16" s="17">
        <v>0.3616094250512384</v>
      </c>
      <c r="F16" s="17">
        <f t="shared" si="1"/>
        <v>0.09137245993</v>
      </c>
      <c r="G16" s="17">
        <f t="shared" ref="G16:G18" si="3">E16-C16</f>
        <v>0.03027485475</v>
      </c>
    </row>
    <row r="17">
      <c r="A17" s="19" t="s">
        <v>31</v>
      </c>
      <c r="B17" s="19" t="s">
        <v>48</v>
      </c>
      <c r="C17" s="17">
        <v>0.16371000588315157</v>
      </c>
      <c r="D17" s="17">
        <v>0.1764323376112752</v>
      </c>
      <c r="E17" s="17">
        <v>0.18607159774691748</v>
      </c>
      <c r="F17" s="17">
        <f t="shared" si="1"/>
        <v>0.1365927009</v>
      </c>
      <c r="G17" s="17">
        <f t="shared" si="3"/>
        <v>0.02236159186</v>
      </c>
    </row>
    <row r="18">
      <c r="A18" s="19" t="s">
        <v>33</v>
      </c>
      <c r="B18" s="19" t="s">
        <v>48</v>
      </c>
      <c r="C18" s="17">
        <v>0.11448952346472373</v>
      </c>
      <c r="D18" s="17">
        <v>0.1294421872952183</v>
      </c>
      <c r="E18" s="17">
        <v>0.13688273559110584</v>
      </c>
      <c r="F18" s="17">
        <f t="shared" si="1"/>
        <v>0.1955918013</v>
      </c>
      <c r="G18" s="17">
        <f t="shared" si="3"/>
        <v>0.02239321213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H1"/>
  </mergeCells>
  <conditionalFormatting sqref="F4:G18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3" width="12.0"/>
    <col customWidth="1" min="4" max="4" width="34.0"/>
    <col customWidth="1" min="5" max="5" width="54.0"/>
    <col customWidth="1" min="6" max="6" width="24.0"/>
    <col customWidth="1" min="7" max="7" width="8.63"/>
    <col customWidth="1" min="8" max="8" width="26.0"/>
    <col customWidth="1" min="9" max="10" width="16.0"/>
    <col customWidth="1" min="11" max="26" width="8.63"/>
  </cols>
  <sheetData>
    <row r="1" ht="25.5" customHeight="1">
      <c r="A1" s="11" t="s">
        <v>38</v>
      </c>
      <c r="B1" s="11" t="s">
        <v>19</v>
      </c>
      <c r="C1" s="11" t="s">
        <v>49</v>
      </c>
      <c r="D1" s="11" t="s">
        <v>50</v>
      </c>
      <c r="E1" s="11" t="s">
        <v>51</v>
      </c>
      <c r="F1" s="11" t="s">
        <v>39</v>
      </c>
      <c r="G1" s="2"/>
      <c r="H1" s="8" t="s">
        <v>52</v>
      </c>
      <c r="K1" s="20"/>
      <c r="L1" s="20"/>
      <c r="M1" s="20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9" t="s">
        <v>20</v>
      </c>
      <c r="B2" s="21">
        <v>1.250735680086532</v>
      </c>
      <c r="C2" s="19">
        <v>1.25</v>
      </c>
      <c r="D2" s="19" t="s">
        <v>53</v>
      </c>
      <c r="E2" s="19" t="s">
        <v>54</v>
      </c>
      <c r="F2" s="19" t="s">
        <v>55</v>
      </c>
      <c r="H2" s="11" t="s">
        <v>39</v>
      </c>
      <c r="I2" s="11" t="s">
        <v>56</v>
      </c>
      <c r="J2" s="11" t="s">
        <v>57</v>
      </c>
    </row>
    <row r="3">
      <c r="A3" s="19" t="s">
        <v>58</v>
      </c>
      <c r="B3" s="21">
        <v>0.9161245168371324</v>
      </c>
      <c r="C3" s="19">
        <v>0.92</v>
      </c>
      <c r="D3" s="19" t="s">
        <v>59</v>
      </c>
      <c r="E3" s="19" t="s">
        <v>60</v>
      </c>
      <c r="F3" s="19" t="s">
        <v>55</v>
      </c>
      <c r="H3" s="14" t="s">
        <v>55</v>
      </c>
      <c r="I3" s="14">
        <v>4.0</v>
      </c>
      <c r="J3" s="15">
        <v>16.005293158605493</v>
      </c>
    </row>
    <row r="4">
      <c r="A4" s="19" t="s">
        <v>61</v>
      </c>
      <c r="B4" s="21">
        <v>6.470669328769729</v>
      </c>
      <c r="C4" s="19">
        <v>6.47</v>
      </c>
      <c r="D4" s="19" t="s">
        <v>62</v>
      </c>
      <c r="E4" s="19" t="s">
        <v>63</v>
      </c>
      <c r="F4" s="19" t="s">
        <v>55</v>
      </c>
      <c r="H4" s="14" t="s">
        <v>64</v>
      </c>
      <c r="I4" s="14">
        <v>5.0</v>
      </c>
      <c r="J4" s="15">
        <v>5.3509127516778525</v>
      </c>
    </row>
    <row r="5">
      <c r="A5" s="19" t="s">
        <v>65</v>
      </c>
      <c r="B5" s="21">
        <v>55.383643108728585</v>
      </c>
      <c r="C5" s="19" t="s">
        <v>66</v>
      </c>
      <c r="D5" s="19" t="s">
        <v>67</v>
      </c>
      <c r="E5" s="19" t="s">
        <v>68</v>
      </c>
      <c r="F5" s="19" t="s">
        <v>55</v>
      </c>
      <c r="H5" s="14" t="s">
        <v>69</v>
      </c>
      <c r="I5" s="14">
        <v>4.0</v>
      </c>
      <c r="J5" s="15">
        <v>9.688497993987337</v>
      </c>
    </row>
    <row r="6">
      <c r="A6" s="19" t="s">
        <v>29</v>
      </c>
      <c r="B6" s="21">
        <v>0.3616094250512384</v>
      </c>
      <c r="C6" s="19" t="s">
        <v>70</v>
      </c>
      <c r="D6" s="19" t="s">
        <v>71</v>
      </c>
      <c r="E6" s="19" t="s">
        <v>72</v>
      </c>
      <c r="F6" s="19" t="s">
        <v>64</v>
      </c>
      <c r="H6" s="14" t="s">
        <v>73</v>
      </c>
      <c r="I6" s="14">
        <v>2.0</v>
      </c>
      <c r="J6" s="15">
        <v>0.23822313648722765</v>
      </c>
    </row>
    <row r="7">
      <c r="A7" s="19" t="s">
        <v>31</v>
      </c>
      <c r="B7" s="21">
        <v>0.18607159774691748</v>
      </c>
      <c r="C7" s="19" t="s">
        <v>74</v>
      </c>
      <c r="D7" s="19" t="s">
        <v>75</v>
      </c>
      <c r="E7" s="19" t="s">
        <v>76</v>
      </c>
      <c r="F7" s="19" t="s">
        <v>64</v>
      </c>
    </row>
    <row r="8">
      <c r="A8" s="19" t="s">
        <v>33</v>
      </c>
      <c r="B8" s="21">
        <v>0.13688273559110584</v>
      </c>
      <c r="C8" s="19" t="s">
        <v>77</v>
      </c>
      <c r="D8" s="19" t="s">
        <v>78</v>
      </c>
      <c r="E8" s="19" t="s">
        <v>79</v>
      </c>
      <c r="F8" s="19" t="s">
        <v>64</v>
      </c>
    </row>
    <row r="9">
      <c r="A9" s="19" t="s">
        <v>8</v>
      </c>
      <c r="B9" s="21">
        <v>0.5984771739485637</v>
      </c>
      <c r="C9" s="19" t="s">
        <v>80</v>
      </c>
      <c r="D9" s="19" t="s">
        <v>81</v>
      </c>
      <c r="E9" s="19" t="s">
        <v>82</v>
      </c>
      <c r="F9" s="19" t="s">
        <v>69</v>
      </c>
    </row>
    <row r="10">
      <c r="A10" s="19" t="s">
        <v>83</v>
      </c>
      <c r="B10" s="21">
        <v>1.494288511749347</v>
      </c>
      <c r="C10" s="19">
        <v>1.49</v>
      </c>
      <c r="D10" s="19" t="s">
        <v>84</v>
      </c>
      <c r="E10" s="19" t="s">
        <v>85</v>
      </c>
      <c r="F10" s="19" t="s">
        <v>69</v>
      </c>
    </row>
    <row r="11">
      <c r="A11" s="19" t="s">
        <v>21</v>
      </c>
      <c r="B11" s="21">
        <v>19.16056462284958</v>
      </c>
      <c r="C11" s="19">
        <v>19.16</v>
      </c>
      <c r="D11" s="19" t="s">
        <v>86</v>
      </c>
      <c r="E11" s="19" t="s">
        <v>87</v>
      </c>
      <c r="F11" s="19" t="s">
        <v>69</v>
      </c>
    </row>
    <row r="12">
      <c r="A12" s="19" t="s">
        <v>22</v>
      </c>
      <c r="B12" s="21">
        <v>17.500661667401854</v>
      </c>
      <c r="C12" s="19">
        <v>17.5</v>
      </c>
      <c r="D12" s="19" t="s">
        <v>88</v>
      </c>
      <c r="E12" s="19" t="s">
        <v>89</v>
      </c>
      <c r="F12" s="19" t="s">
        <v>69</v>
      </c>
    </row>
    <row r="13">
      <c r="A13" s="19" t="s">
        <v>23</v>
      </c>
      <c r="B13" s="21">
        <v>0.13625138300802495</v>
      </c>
      <c r="C13" s="19" t="s">
        <v>90</v>
      </c>
      <c r="D13" s="19" t="s">
        <v>91</v>
      </c>
      <c r="E13" s="19" t="s">
        <v>92</v>
      </c>
      <c r="F13" s="19" t="s">
        <v>73</v>
      </c>
    </row>
    <row r="14">
      <c r="A14" s="19" t="s">
        <v>24</v>
      </c>
      <c r="B14" s="21">
        <v>0.3401948899664304</v>
      </c>
      <c r="C14" s="19" t="s">
        <v>93</v>
      </c>
      <c r="D14" s="19" t="s">
        <v>94</v>
      </c>
      <c r="E14" s="19" t="s">
        <v>95</v>
      </c>
      <c r="F14" s="19" t="s">
        <v>73</v>
      </c>
    </row>
    <row r="15">
      <c r="A15" s="19" t="s">
        <v>36</v>
      </c>
      <c r="B15" s="21">
        <v>13.09</v>
      </c>
      <c r="C15" s="19" t="s">
        <v>96</v>
      </c>
      <c r="D15" s="19" t="s">
        <v>97</v>
      </c>
      <c r="E15" s="19" t="s">
        <v>98</v>
      </c>
      <c r="F15" s="19" t="s">
        <v>64</v>
      </c>
    </row>
    <row r="16">
      <c r="A16" s="19" t="s">
        <v>7</v>
      </c>
      <c r="B16" s="21">
        <v>12.98</v>
      </c>
      <c r="C16" s="19" t="s">
        <v>99</v>
      </c>
      <c r="D16" s="19" t="s">
        <v>97</v>
      </c>
      <c r="E16" s="19" t="s">
        <v>100</v>
      </c>
      <c r="F16" s="19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H1:J1"/>
  </mergeCells>
  <conditionalFormatting sqref="A2:F16">
    <cfRule type="expression" dxfId="4" priority="1">
      <formula>$F2="Leverage / Coverage"</formula>
    </cfRule>
  </conditionalFormatting>
  <conditionalFormatting sqref="A2:F16">
    <cfRule type="expression" dxfId="5" priority="2">
      <formula>$F2="Profitability"</formula>
    </cfRule>
  </conditionalFormatting>
  <conditionalFormatting sqref="A2:F16">
    <cfRule type="expression" dxfId="6" priority="3">
      <formula>$F2="Returns"</formula>
    </cfRule>
  </conditionalFormatting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